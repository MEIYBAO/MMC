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/>
  <mc:AlternateContent xmlns:mc="http://schemas.openxmlformats.org/markup-compatibility/2006">
    <mc:Choice Requires="x15">
      <x15ac:absPath xmlns:x15ac="http://schemas.microsoft.com/office/spreadsheetml/2010/11/ac" url="D:\文件\MMC\暑期集训\暑期模拟-1-2025-08-15\暑期模拟-1-2025-08-15\模拟练习-1 C题 派出所警力绩效考核及人员配置模型\"/>
    </mc:Choice>
  </mc:AlternateContent>
  <xr:revisionPtr revIDLastSave="0" documentId="8_{89D74E15-7D27-45DF-82E7-A32AAE26253D}" xr6:coauthVersionLast="47" xr6:coauthVersionMax="47" xr10:uidLastSave="{00000000-0000-0000-0000-000000000000}"/>
  <bookViews>
    <workbookView xWindow="760" yWindow="760" windowWidth="19330" windowHeight="13220" xr2:uid="{6A2929F6-9684-4DA9-88A8-B68487CDE2AF}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16" i="1" l="1"/>
  <c r="AM16" i="1"/>
  <c r="AK16" i="1"/>
  <c r="AL16" i="1"/>
  <c r="AM6" i="1"/>
  <c r="AM7" i="1"/>
  <c r="AM8" i="1"/>
  <c r="AM9" i="1"/>
  <c r="AM10" i="1"/>
  <c r="AM11" i="1"/>
  <c r="AM12" i="1"/>
  <c r="AM13" i="1"/>
  <c r="AM14" i="1"/>
  <c r="AM15" i="1"/>
  <c r="AM5" i="1"/>
  <c r="AQ16" i="1"/>
  <c r="AI6" i="1"/>
  <c r="AI7" i="1"/>
  <c r="AI8" i="1"/>
  <c r="AI9" i="1"/>
  <c r="AI10" i="1"/>
  <c r="AI11" i="1"/>
  <c r="AI12" i="1"/>
  <c r="AI13" i="1"/>
  <c r="AI14" i="1"/>
  <c r="AI15" i="1"/>
  <c r="AG16" i="1"/>
  <c r="AH16" i="1"/>
  <c r="AI16" i="1"/>
  <c r="AI5" i="1"/>
  <c r="E16" i="1"/>
  <c r="G16" i="1"/>
  <c r="F16" i="1"/>
  <c r="AB5" i="1"/>
  <c r="AD5" i="1"/>
  <c r="AE5" i="1"/>
  <c r="AB6" i="1"/>
  <c r="AE6" i="1"/>
  <c r="AD6" i="1"/>
  <c r="AB7" i="1"/>
  <c r="AE7" i="1"/>
  <c r="AD7" i="1"/>
  <c r="AD8" i="1"/>
  <c r="AE8" i="1"/>
  <c r="AD9" i="1"/>
  <c r="AE9" i="1"/>
  <c r="AD10" i="1"/>
  <c r="AE10" i="1"/>
  <c r="AD11" i="1"/>
  <c r="AE11" i="1"/>
  <c r="AB12" i="1"/>
  <c r="AD12" i="1"/>
  <c r="AE12" i="1"/>
  <c r="AD13" i="1"/>
  <c r="AE13" i="1"/>
  <c r="AD14" i="1"/>
  <c r="AE14" i="1"/>
  <c r="AD15" i="1"/>
  <c r="AE15" i="1"/>
  <c r="AA5" i="1"/>
  <c r="AA16" i="1"/>
  <c r="AA6" i="1"/>
  <c r="AA7" i="1"/>
  <c r="AA8" i="1"/>
  <c r="AA9" i="1"/>
  <c r="AA10" i="1"/>
  <c r="AA11" i="1"/>
  <c r="AA12" i="1"/>
  <c r="AA13" i="1"/>
  <c r="AA14" i="1"/>
  <c r="AA15" i="1"/>
  <c r="R5" i="1"/>
  <c r="R6" i="1"/>
  <c r="R7" i="1"/>
  <c r="R8" i="1"/>
  <c r="R9" i="1"/>
  <c r="R10" i="1"/>
  <c r="R11" i="1"/>
  <c r="R12" i="1"/>
  <c r="R16" i="1"/>
  <c r="S5" i="1"/>
  <c r="S6" i="1"/>
  <c r="S16" i="1"/>
  <c r="S7" i="1"/>
  <c r="S8" i="1"/>
  <c r="S9" i="1"/>
  <c r="S10" i="1"/>
  <c r="S11" i="1"/>
  <c r="S12" i="1"/>
  <c r="W16" i="1"/>
  <c r="Q5" i="1"/>
  <c r="Q6" i="1"/>
  <c r="Q16" i="1"/>
  <c r="Q7" i="1"/>
  <c r="Q8" i="1"/>
  <c r="Q9" i="1"/>
  <c r="Q10" i="1"/>
  <c r="Q11" i="1"/>
  <c r="Q12" i="1"/>
  <c r="B16" i="1"/>
  <c r="AE16" i="1"/>
</calcChain>
</file>

<file path=xl/sharedStrings.xml><?xml version="1.0" encoding="utf-8"?>
<sst xmlns="http://schemas.openxmlformats.org/spreadsheetml/2006/main" count="71" uniqueCount="50">
  <si>
    <t>刑事案件立案数</t>
  </si>
  <si>
    <t>逮捕数</t>
  </si>
  <si>
    <t>直诉数</t>
  </si>
  <si>
    <t>行业场所数</t>
  </si>
  <si>
    <t>常口</t>
  </si>
  <si>
    <t>暂口</t>
  </si>
  <si>
    <t>寄口</t>
  </si>
  <si>
    <t>大型活动及警卫安保数量</t>
    <phoneticPr fontId="3" type="noConversion"/>
  </si>
  <si>
    <t>一、自然因素指标</t>
    <phoneticPr fontId="3" type="noConversion"/>
  </si>
  <si>
    <t>二、人员因素指标</t>
    <phoneticPr fontId="3" type="noConversion"/>
  </si>
  <si>
    <t>三、治安因素</t>
    <phoneticPr fontId="3" type="noConversion"/>
  </si>
  <si>
    <t>平均年龄</t>
    <phoneticPr fontId="3" type="noConversion"/>
  </si>
  <si>
    <t>警辅数</t>
    <phoneticPr fontId="3" type="noConversion"/>
  </si>
  <si>
    <t>分局总数</t>
    <phoneticPr fontId="3" type="noConversion"/>
  </si>
  <si>
    <t>三年均数</t>
    <phoneticPr fontId="3" type="noConversion"/>
  </si>
  <si>
    <t>五、警力结构指标</t>
    <phoneticPr fontId="3" type="noConversion"/>
  </si>
  <si>
    <t>治安案件查处数</t>
    <phoneticPr fontId="3" type="noConversion"/>
  </si>
  <si>
    <t>打处数</t>
    <phoneticPr fontId="3" type="noConversion"/>
  </si>
  <si>
    <t>均数</t>
    <phoneticPr fontId="3" type="noConversion"/>
  </si>
  <si>
    <t>2016年</t>
    <phoneticPr fontId="3" type="noConversion"/>
  </si>
  <si>
    <t>警力数（编制）</t>
    <phoneticPr fontId="3" type="noConversion"/>
  </si>
  <si>
    <t>四、业务因素指标</t>
    <phoneticPr fontId="3" type="noConversion"/>
  </si>
  <si>
    <t>区域面积（平方公里）</t>
    <phoneticPr fontId="3" type="noConversion"/>
  </si>
  <si>
    <t>内部单位（由保大队提供）</t>
    <phoneticPr fontId="3" type="noConversion"/>
  </si>
  <si>
    <t>涉稳人员</t>
    <phoneticPr fontId="3" type="noConversion"/>
  </si>
  <si>
    <t>女警与男警性别比</t>
    <phoneticPr fontId="3" type="noConversion"/>
  </si>
  <si>
    <t>110警情数</t>
    <phoneticPr fontId="3" type="noConversion"/>
  </si>
  <si>
    <t>110警情数</t>
    <phoneticPr fontId="3" type="noConversion"/>
  </si>
  <si>
    <t>分局派出所基本情况</t>
    <phoneticPr fontId="3" type="noConversion"/>
  </si>
  <si>
    <t>A0</t>
    <phoneticPr fontId="3" type="noConversion"/>
  </si>
  <si>
    <r>
      <t>A</t>
    </r>
    <r>
      <rPr>
        <sz val="10"/>
        <rFont val="宋体"/>
        <charset val="134"/>
      </rPr>
      <t>1</t>
    </r>
    <phoneticPr fontId="3" type="noConversion"/>
  </si>
  <si>
    <r>
      <t>A</t>
    </r>
    <r>
      <rPr>
        <sz val="10"/>
        <rFont val="宋体"/>
        <charset val="134"/>
      </rPr>
      <t>2</t>
    </r>
    <phoneticPr fontId="3" type="noConversion"/>
  </si>
  <si>
    <r>
      <t>A</t>
    </r>
    <r>
      <rPr>
        <sz val="10"/>
        <rFont val="宋体"/>
        <charset val="134"/>
      </rPr>
      <t>4</t>
    </r>
    <phoneticPr fontId="3" type="noConversion"/>
  </si>
  <si>
    <r>
      <t>A</t>
    </r>
    <r>
      <rPr>
        <sz val="10"/>
        <rFont val="宋体"/>
        <charset val="134"/>
      </rPr>
      <t>5</t>
    </r>
    <phoneticPr fontId="3" type="noConversion"/>
  </si>
  <si>
    <r>
      <t>A</t>
    </r>
    <r>
      <rPr>
        <sz val="10"/>
        <rFont val="宋体"/>
        <charset val="134"/>
      </rPr>
      <t>6</t>
    </r>
    <phoneticPr fontId="3" type="noConversion"/>
  </si>
  <si>
    <r>
      <t>A</t>
    </r>
    <r>
      <rPr>
        <sz val="10"/>
        <rFont val="宋体"/>
        <charset val="134"/>
      </rPr>
      <t>7</t>
    </r>
    <phoneticPr fontId="3" type="noConversion"/>
  </si>
  <si>
    <r>
      <t>A</t>
    </r>
    <r>
      <rPr>
        <sz val="10"/>
        <rFont val="宋体"/>
        <charset val="134"/>
      </rPr>
      <t>8</t>
    </r>
    <phoneticPr fontId="3" type="noConversion"/>
  </si>
  <si>
    <r>
      <t>A</t>
    </r>
    <r>
      <rPr>
        <sz val="10"/>
        <rFont val="宋体"/>
        <charset val="134"/>
      </rPr>
      <t>3</t>
    </r>
    <phoneticPr fontId="3" type="noConversion"/>
  </si>
  <si>
    <t>A10</t>
    <phoneticPr fontId="3" type="noConversion"/>
  </si>
  <si>
    <t>A9</t>
    <phoneticPr fontId="3" type="noConversion"/>
  </si>
  <si>
    <t>社区数</t>
    <phoneticPr fontId="3" type="noConversion"/>
  </si>
  <si>
    <t>责任区数</t>
    <phoneticPr fontId="3" type="noConversion"/>
  </si>
  <si>
    <t>2016年</t>
    <phoneticPr fontId="3" type="noConversion"/>
  </si>
  <si>
    <t>2017年</t>
    <phoneticPr fontId="3" type="noConversion"/>
  </si>
  <si>
    <t>2018年</t>
    <phoneticPr fontId="3" type="noConversion"/>
  </si>
  <si>
    <t>2016-2018三年均数</t>
    <phoneticPr fontId="3" type="noConversion"/>
  </si>
  <si>
    <t>2019年</t>
    <phoneticPr fontId="3" type="noConversion"/>
  </si>
  <si>
    <t>2016年</t>
    <phoneticPr fontId="3" type="noConversion"/>
  </si>
  <si>
    <t>2017年</t>
    <phoneticPr fontId="3" type="noConversion"/>
  </si>
  <si>
    <t>2018年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</si>
</sst>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4" formatCode="0_ "/>
  </numFmts>
  <fonts count="12">
    <font>
      <sz val="12"/>
      <name val="宋体"/>
      <charset val="134"/>
    </font>
    <font>
      <sz val="10"/>
      <name val="宋体"/>
      <charset val="134"/>
    </font>
    <font>
      <sz val="11"/>
      <name val="楷体_GB2312"/>
      <family val="3"/>
      <charset val="134"/>
    </font>
    <font>
      <sz val="9"/>
      <name val="宋体"/>
      <charset val="134"/>
    </font>
    <font>
      <b/>
      <sz val="12"/>
      <name val="宋体"/>
      <charset val="134"/>
    </font>
    <font>
      <sz val="9"/>
      <color indexed="8"/>
      <name val="宋体"/>
      <charset val="134"/>
    </font>
    <font>
      <sz val="9"/>
      <name val="楷体_GB2312"/>
      <family val="3"/>
      <charset val="134"/>
    </font>
    <font>
      <b/>
      <sz val="9"/>
      <name val="楷体_GB2312"/>
      <family val="3"/>
      <charset val="134"/>
    </font>
    <font>
      <sz val="6"/>
      <name val="宋体"/>
      <charset val="134"/>
    </font>
    <font>
      <sz val="6"/>
      <color indexed="8"/>
      <name val="宋体"/>
      <charset val="134"/>
    </font>
    <font>
      <b/>
      <sz val="10"/>
      <name val="宋体"/>
      <charset val="134"/>
    </font>
    <font>
      <sz val="10"/>
      <name val="宋体"/>
      <charset val="134"/>
    </font>
  </fonts>
  <fills count="2">
    <fill>
      <patternFill patternType="none"/>
    </fill>
    <fill>
      <patternFill patternType="gray125"/>
    </fill>
  </fills>
  <borders count="5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48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 shrinkToFi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 shrinkToFit="1"/>
    </xf>
    <xf numFmtId="0" fontId="0" fillId="0" borderId="6" xfId="0" applyBorder="1" applyAlignment="1">
      <alignment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4" fontId="5" fillId="0" borderId="14" xfId="0" applyNumberFormat="1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 shrinkToFit="1"/>
    </xf>
    <xf numFmtId="0" fontId="7" fillId="0" borderId="11" xfId="0" applyFont="1" applyBorder="1" applyAlignment="1">
      <alignment horizontal="center" vertical="center" wrapText="1" shrinkToFit="1"/>
    </xf>
    <xf numFmtId="0" fontId="7" fillId="0" borderId="12" xfId="0" applyFont="1" applyBorder="1" applyAlignment="1">
      <alignment horizontal="center" vertical="center" wrapText="1" shrinkToFit="1"/>
    </xf>
    <xf numFmtId="0" fontId="7" fillId="0" borderId="15" xfId="0" applyFont="1" applyBorder="1" applyAlignment="1">
      <alignment horizontal="center" vertical="center" wrapText="1" shrinkToFit="1"/>
    </xf>
    <xf numFmtId="0" fontId="7" fillId="0" borderId="16" xfId="0" applyFont="1" applyBorder="1" applyAlignment="1">
      <alignment horizontal="center" vertical="center" wrapText="1" shrinkToFit="1"/>
    </xf>
    <xf numFmtId="0" fontId="7" fillId="0" borderId="17" xfId="0" applyFont="1" applyBorder="1" applyAlignment="1">
      <alignment horizontal="center" vertical="center" wrapText="1" shrinkToFit="1"/>
    </xf>
    <xf numFmtId="0" fontId="3" fillId="0" borderId="18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 wrapText="1"/>
    </xf>
    <xf numFmtId="184" fontId="3" fillId="0" borderId="20" xfId="0" applyNumberFormat="1" applyFont="1" applyBorder="1" applyAlignment="1">
      <alignment horizontal="center" vertical="center" wrapText="1"/>
    </xf>
    <xf numFmtId="184" fontId="5" fillId="0" borderId="22" xfId="0" applyNumberFormat="1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0" fillId="0" borderId="24" xfId="0" applyBorder="1" applyAlignment="1">
      <alignment vertical="center" wrapText="1"/>
    </xf>
    <xf numFmtId="0" fontId="3" fillId="0" borderId="25" xfId="0" applyFont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27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0" fontId="3" fillId="0" borderId="29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9" fillId="0" borderId="30" xfId="0" applyFont="1" applyBorder="1" applyAlignment="1">
      <alignment horizontal="center" vertical="center" wrapText="1"/>
    </xf>
    <xf numFmtId="0" fontId="8" fillId="0" borderId="31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184" fontId="8" fillId="0" borderId="7" xfId="0" applyNumberFormat="1" applyFont="1" applyBorder="1" applyAlignment="1">
      <alignment horizontal="center" vertical="center" wrapText="1"/>
    </xf>
    <xf numFmtId="184" fontId="8" fillId="0" borderId="8" xfId="0" applyNumberFormat="1" applyFont="1" applyBorder="1" applyAlignment="1">
      <alignment horizontal="center" vertical="center" wrapText="1"/>
    </xf>
    <xf numFmtId="184" fontId="9" fillId="0" borderId="22" xfId="0" applyNumberFormat="1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184" fontId="8" fillId="0" borderId="13" xfId="0" applyNumberFormat="1" applyFont="1" applyBorder="1" applyAlignment="1">
      <alignment horizontal="center" vertical="center" wrapText="1"/>
    </xf>
    <xf numFmtId="184" fontId="8" fillId="0" borderId="11" xfId="0" applyNumberFormat="1" applyFont="1" applyBorder="1" applyAlignment="1">
      <alignment horizontal="center" vertical="center" wrapText="1"/>
    </xf>
    <xf numFmtId="184" fontId="9" fillId="0" borderId="14" xfId="0" applyNumberFormat="1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8" fillId="0" borderId="30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22" xfId="0" applyFont="1" applyBorder="1" applyAlignment="1">
      <alignment horizontal="center" vertical="center" wrapText="1"/>
    </xf>
    <xf numFmtId="0" fontId="8" fillId="0" borderId="26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vertical="center" wrapText="1"/>
    </xf>
    <xf numFmtId="0" fontId="3" fillId="0" borderId="33" xfId="0" applyFont="1" applyBorder="1" applyAlignment="1">
      <alignment horizontal="center" vertical="center" wrapText="1"/>
    </xf>
    <xf numFmtId="0" fontId="3" fillId="0" borderId="33" xfId="0" applyFont="1" applyFill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 wrapText="1" shrinkToFit="1"/>
    </xf>
    <xf numFmtId="0" fontId="6" fillId="0" borderId="34" xfId="0" applyFont="1" applyBorder="1" applyAlignment="1">
      <alignment horizontal="center" vertical="center" wrapText="1" shrinkToFit="1"/>
    </xf>
    <xf numFmtId="0" fontId="3" fillId="0" borderId="13" xfId="0" applyFont="1" applyFill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 shrinkToFit="1"/>
    </xf>
    <xf numFmtId="0" fontId="6" fillId="0" borderId="12" xfId="0" applyFont="1" applyBorder="1" applyAlignment="1">
      <alignment horizontal="center" vertical="center" wrapText="1" shrinkToFit="1"/>
    </xf>
    <xf numFmtId="0" fontId="1" fillId="0" borderId="13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1" fillId="0" borderId="30" xfId="0" applyFont="1" applyBorder="1" applyAlignment="1">
      <alignment vertical="center" wrapText="1"/>
    </xf>
    <xf numFmtId="0" fontId="1" fillId="0" borderId="35" xfId="0" applyFont="1" applyBorder="1" applyAlignment="1">
      <alignment horizontal="center" vertical="center" wrapText="1"/>
    </xf>
    <xf numFmtId="0" fontId="1" fillId="0" borderId="36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0" fontId="1" fillId="0" borderId="39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37" xfId="0" applyFont="1" applyBorder="1" applyAlignment="1">
      <alignment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1" xfId="0" applyFont="1" applyBorder="1" applyAlignment="1">
      <alignment vertical="center" wrapText="1"/>
    </xf>
    <xf numFmtId="0" fontId="1" fillId="0" borderId="12" xfId="0" applyFont="1" applyBorder="1" applyAlignment="1">
      <alignment vertical="center" wrapText="1"/>
    </xf>
    <xf numFmtId="0" fontId="6" fillId="0" borderId="18" xfId="0" applyFont="1" applyBorder="1" applyAlignment="1">
      <alignment horizontal="center" vertical="center" wrapText="1" shrinkToFit="1"/>
    </xf>
    <xf numFmtId="0" fontId="6" fillId="0" borderId="17" xfId="0" applyFont="1" applyBorder="1" applyAlignment="1">
      <alignment horizontal="center" vertical="center" wrapText="1" shrinkToFit="1"/>
    </xf>
    <xf numFmtId="0" fontId="8" fillId="0" borderId="40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 wrapText="1"/>
    </xf>
    <xf numFmtId="0" fontId="8" fillId="0" borderId="42" xfId="0" applyFont="1" applyBorder="1" applyAlignment="1">
      <alignment horizontal="center" vertical="center" wrapText="1"/>
    </xf>
    <xf numFmtId="0" fontId="8" fillId="0" borderId="43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44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35" xfId="0" applyFont="1" applyBorder="1" applyAlignment="1">
      <alignment horizontal="center" vertical="center" wrapText="1"/>
    </xf>
    <xf numFmtId="0" fontId="10" fillId="0" borderId="55" xfId="0" applyFont="1" applyBorder="1" applyAlignment="1">
      <alignment horizontal="left" vertical="center" wrapText="1"/>
    </xf>
    <xf numFmtId="0" fontId="10" fillId="0" borderId="56" xfId="0" applyFont="1" applyBorder="1" applyAlignment="1">
      <alignment horizontal="left" vertical="center" wrapText="1"/>
    </xf>
    <xf numFmtId="0" fontId="10" fillId="0" borderId="57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36" xfId="0" applyFont="1" applyBorder="1" applyAlignment="1">
      <alignment horizontal="center" vertical="center" wrapText="1"/>
    </xf>
    <xf numFmtId="0" fontId="1" fillId="0" borderId="49" xfId="0" applyFont="1" applyBorder="1" applyAlignment="1">
      <alignment horizontal="center" vertical="center" wrapText="1"/>
    </xf>
    <xf numFmtId="0" fontId="1" fillId="0" borderId="58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52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47" xfId="0" applyFont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25" xfId="0" applyFont="1" applyBorder="1" applyAlignment="1">
      <alignment horizontal="center" vertical="center" wrapText="1"/>
    </xf>
    <xf numFmtId="0" fontId="8" fillId="0" borderId="26" xfId="0" applyFont="1" applyBorder="1" applyAlignment="1">
      <alignment horizontal="center" vertical="center" wrapText="1"/>
    </xf>
    <xf numFmtId="0" fontId="8" fillId="0" borderId="46" xfId="0" applyFont="1" applyBorder="1" applyAlignment="1">
      <alignment horizontal="center" vertical="center" wrapText="1"/>
    </xf>
    <xf numFmtId="0" fontId="8" fillId="0" borderId="25" xfId="0" applyFont="1" applyBorder="1" applyAlignment="1">
      <alignment horizontal="center" vertical="center" wrapText="1"/>
    </xf>
    <xf numFmtId="0" fontId="1" fillId="0" borderId="46" xfId="0" applyFont="1" applyBorder="1" applyAlignment="1">
      <alignment horizontal="center" vertical="center" wrapText="1"/>
    </xf>
    <xf numFmtId="0" fontId="1" fillId="0" borderId="54" xfId="0" applyFont="1" applyBorder="1" applyAlignment="1">
      <alignment horizontal="center" vertical="center" wrapText="1"/>
    </xf>
    <xf numFmtId="0" fontId="1" fillId="0" borderId="45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47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 wrapText="1"/>
    </xf>
    <xf numFmtId="0" fontId="1" fillId="0" borderId="48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0" fillId="0" borderId="50" xfId="0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0" fontId="1" fillId="0" borderId="53" xfId="0" applyFont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966EB-01C9-4274-9DF8-CE837447BE92}">
  <dimension ref="A1:AQ16"/>
  <sheetViews>
    <sheetView tabSelected="1" workbookViewId="0">
      <selection activeCell="H15" sqref="H15"/>
    </sheetView>
  </sheetViews>
  <sheetFormatPr defaultColWidth="9" defaultRowHeight="15"/>
  <cols>
    <col min="1" max="1" width="9" style="1"/>
    <col min="2" max="2" width="4.5" style="2" customWidth="1"/>
    <col min="3" max="3" width="3.75" style="2" customWidth="1"/>
    <col min="4" max="4" width="4" style="2" customWidth="1"/>
    <col min="5" max="5" width="5.75" style="1" customWidth="1"/>
    <col min="6" max="6" width="4.75" style="1" customWidth="1"/>
    <col min="7" max="7" width="5.08203125" style="1" customWidth="1"/>
    <col min="8" max="16" width="4.5" style="1" customWidth="1"/>
    <col min="17" max="18" width="6" style="1" customWidth="1"/>
    <col min="19" max="19" width="5.5" style="1" customWidth="1"/>
    <col min="20" max="20" width="4.08203125" style="1" customWidth="1"/>
    <col min="21" max="21" width="4.25" style="1" customWidth="1"/>
    <col min="22" max="22" width="3.75" style="1" customWidth="1"/>
    <col min="23" max="23" width="4.5" style="1" customWidth="1"/>
    <col min="24" max="24" width="3.33203125" style="2" customWidth="1"/>
    <col min="25" max="25" width="3.5" style="2" customWidth="1"/>
    <col min="26" max="26" width="3.08203125" style="2" customWidth="1"/>
    <col min="27" max="27" width="5.08203125" style="2" customWidth="1"/>
    <col min="28" max="28" width="3.33203125" style="2" customWidth="1"/>
    <col min="29" max="29" width="3.5" style="2" customWidth="1"/>
    <col min="30" max="30" width="2.83203125" style="2" customWidth="1"/>
    <col min="31" max="31" width="5.08203125" style="2" customWidth="1"/>
    <col min="32" max="32" width="4.33203125" style="2" customWidth="1"/>
    <col min="33" max="33" width="4.25" style="1" customWidth="1"/>
    <col min="34" max="34" width="3.83203125" style="1" customWidth="1"/>
    <col min="35" max="35" width="3.58203125" style="1" customWidth="1"/>
    <col min="36" max="37" width="3.08203125" style="1" customWidth="1"/>
    <col min="38" max="38" width="3.25" style="1" customWidth="1"/>
    <col min="39" max="39" width="5.5" style="1" customWidth="1"/>
    <col min="40" max="40" width="4.5" style="1" customWidth="1"/>
    <col min="41" max="41" width="3.08203125" style="2" customWidth="1"/>
    <col min="42" max="42" width="4.83203125" style="2" customWidth="1"/>
    <col min="43" max="43" width="4.08203125" style="2" customWidth="1"/>
    <col min="44" max="16384" width="9" style="1"/>
  </cols>
  <sheetData>
    <row r="1" spans="1:43" ht="29.25" customHeight="1" thickBot="1">
      <c r="A1" s="139" t="s">
        <v>28</v>
      </c>
      <c r="B1" s="140"/>
      <c r="C1" s="139"/>
      <c r="D1" s="139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</row>
    <row r="2" spans="1:43" ht="25.5" customHeight="1" thickBot="1">
      <c r="A2" s="36"/>
      <c r="B2" s="126" t="s">
        <v>20</v>
      </c>
      <c r="C2" s="108" t="s">
        <v>40</v>
      </c>
      <c r="D2" s="116" t="s">
        <v>41</v>
      </c>
      <c r="E2" s="135" t="s">
        <v>8</v>
      </c>
      <c r="F2" s="135"/>
      <c r="G2" s="136"/>
      <c r="H2" s="137" t="s">
        <v>9</v>
      </c>
      <c r="I2" s="135"/>
      <c r="J2" s="135"/>
      <c r="K2" s="135"/>
      <c r="L2" s="135"/>
      <c r="M2" s="135"/>
      <c r="N2" s="135"/>
      <c r="O2" s="135"/>
      <c r="P2" s="135"/>
      <c r="Q2" s="126"/>
      <c r="R2" s="126"/>
      <c r="S2" s="126"/>
      <c r="T2" s="126"/>
      <c r="U2" s="126"/>
      <c r="V2" s="126"/>
      <c r="W2" s="147"/>
      <c r="X2" s="137" t="s">
        <v>10</v>
      </c>
      <c r="Y2" s="135"/>
      <c r="Z2" s="135"/>
      <c r="AA2" s="135"/>
      <c r="AB2" s="135"/>
      <c r="AC2" s="135"/>
      <c r="AD2" s="135"/>
      <c r="AE2" s="135"/>
      <c r="AF2" s="138"/>
      <c r="AG2" s="143" t="s">
        <v>21</v>
      </c>
      <c r="AH2" s="143"/>
      <c r="AI2" s="144"/>
      <c r="AJ2" s="118"/>
      <c r="AK2" s="118"/>
      <c r="AL2" s="118"/>
      <c r="AM2" s="118"/>
      <c r="AN2" s="144"/>
      <c r="AO2" s="111" t="s">
        <v>15</v>
      </c>
      <c r="AP2" s="112"/>
      <c r="AQ2" s="113"/>
    </row>
    <row r="3" spans="1:43" ht="31.5" customHeight="1">
      <c r="A3" s="145"/>
      <c r="B3" s="127"/>
      <c r="C3" s="109"/>
      <c r="D3" s="125"/>
      <c r="E3" s="122" t="s">
        <v>22</v>
      </c>
      <c r="F3" s="114" t="s">
        <v>3</v>
      </c>
      <c r="G3" s="120" t="s">
        <v>23</v>
      </c>
      <c r="H3" s="108" t="s">
        <v>42</v>
      </c>
      <c r="I3" s="114"/>
      <c r="J3" s="116"/>
      <c r="K3" s="122" t="s">
        <v>43</v>
      </c>
      <c r="L3" s="114"/>
      <c r="M3" s="120"/>
      <c r="N3" s="108" t="s">
        <v>44</v>
      </c>
      <c r="O3" s="114"/>
      <c r="P3" s="116"/>
      <c r="Q3" s="108" t="s">
        <v>45</v>
      </c>
      <c r="R3" s="114"/>
      <c r="S3" s="120"/>
      <c r="T3" s="108" t="s">
        <v>46</v>
      </c>
      <c r="U3" s="114"/>
      <c r="V3" s="116"/>
      <c r="W3" s="116" t="s">
        <v>24</v>
      </c>
      <c r="X3" s="122" t="s">
        <v>26</v>
      </c>
      <c r="Y3" s="114"/>
      <c r="Z3" s="114"/>
      <c r="AA3" s="114"/>
      <c r="AB3" s="114" t="s">
        <v>0</v>
      </c>
      <c r="AC3" s="114"/>
      <c r="AD3" s="114"/>
      <c r="AE3" s="116"/>
      <c r="AF3" s="101" t="s">
        <v>27</v>
      </c>
      <c r="AG3" s="80" t="s">
        <v>1</v>
      </c>
      <c r="AH3" s="81" t="s">
        <v>2</v>
      </c>
      <c r="AI3" s="118" t="s">
        <v>17</v>
      </c>
      <c r="AJ3" s="108" t="s">
        <v>16</v>
      </c>
      <c r="AK3" s="114"/>
      <c r="AL3" s="114"/>
      <c r="AM3" s="116"/>
      <c r="AN3" s="141" t="s">
        <v>7</v>
      </c>
      <c r="AO3" s="108" t="s">
        <v>11</v>
      </c>
      <c r="AP3" s="114" t="s">
        <v>25</v>
      </c>
      <c r="AQ3" s="116" t="s">
        <v>12</v>
      </c>
    </row>
    <row r="4" spans="1:43" ht="45.75" customHeight="1" thickBot="1">
      <c r="A4" s="146"/>
      <c r="B4" s="128"/>
      <c r="C4" s="110"/>
      <c r="D4" s="117"/>
      <c r="E4" s="123"/>
      <c r="F4" s="124"/>
      <c r="G4" s="121"/>
      <c r="H4" s="82" t="s">
        <v>4</v>
      </c>
      <c r="I4" s="87" t="s">
        <v>5</v>
      </c>
      <c r="J4" s="83" t="s">
        <v>6</v>
      </c>
      <c r="K4" s="88" t="s">
        <v>4</v>
      </c>
      <c r="L4" s="87" t="s">
        <v>5</v>
      </c>
      <c r="M4" s="89" t="s">
        <v>6</v>
      </c>
      <c r="N4" s="82" t="s">
        <v>4</v>
      </c>
      <c r="O4" s="87" t="s">
        <v>5</v>
      </c>
      <c r="P4" s="83" t="s">
        <v>6</v>
      </c>
      <c r="Q4" s="82" t="s">
        <v>4</v>
      </c>
      <c r="R4" s="87" t="s">
        <v>5</v>
      </c>
      <c r="S4" s="89" t="s">
        <v>6</v>
      </c>
      <c r="T4" s="82" t="s">
        <v>4</v>
      </c>
      <c r="U4" s="87" t="s">
        <v>5</v>
      </c>
      <c r="V4" s="83" t="s">
        <v>6</v>
      </c>
      <c r="W4" s="117"/>
      <c r="X4" s="84" t="s">
        <v>47</v>
      </c>
      <c r="Y4" s="85" t="s">
        <v>48</v>
      </c>
      <c r="Z4" s="85" t="s">
        <v>44</v>
      </c>
      <c r="AA4" s="85" t="s">
        <v>14</v>
      </c>
      <c r="AB4" s="85" t="s">
        <v>19</v>
      </c>
      <c r="AC4" s="85" t="s">
        <v>43</v>
      </c>
      <c r="AD4" s="85" t="s">
        <v>44</v>
      </c>
      <c r="AE4" s="90" t="s">
        <v>14</v>
      </c>
      <c r="AF4" s="86" t="s">
        <v>46</v>
      </c>
      <c r="AG4" s="87" t="s">
        <v>18</v>
      </c>
      <c r="AH4" s="91" t="s">
        <v>18</v>
      </c>
      <c r="AI4" s="119"/>
      <c r="AJ4" s="79" t="s">
        <v>47</v>
      </c>
      <c r="AK4" s="92" t="s">
        <v>48</v>
      </c>
      <c r="AL4" s="93" t="s">
        <v>49</v>
      </c>
      <c r="AM4" s="94" t="s">
        <v>14</v>
      </c>
      <c r="AN4" s="142"/>
      <c r="AO4" s="110"/>
      <c r="AP4" s="115"/>
      <c r="AQ4" s="117"/>
    </row>
    <row r="5" spans="1:43" ht="45" customHeight="1">
      <c r="A5" s="35" t="s">
        <v>29</v>
      </c>
      <c r="B5" s="71">
        <v>38</v>
      </c>
      <c r="C5" s="9">
        <v>4</v>
      </c>
      <c r="D5" s="11">
        <v>8</v>
      </c>
      <c r="E5" s="4">
        <v>5.5</v>
      </c>
      <c r="F5" s="5">
        <v>133</v>
      </c>
      <c r="G5" s="6">
        <v>20</v>
      </c>
      <c r="H5" s="42">
        <v>49305</v>
      </c>
      <c r="I5" s="43">
        <v>9937</v>
      </c>
      <c r="J5" s="44">
        <v>3478</v>
      </c>
      <c r="K5" s="42">
        <v>49126</v>
      </c>
      <c r="L5" s="43">
        <v>5309</v>
      </c>
      <c r="M5" s="45">
        <v>3566</v>
      </c>
      <c r="N5" s="46">
        <v>48659</v>
      </c>
      <c r="O5" s="43">
        <v>7089</v>
      </c>
      <c r="P5" s="47">
        <v>3761</v>
      </c>
      <c r="Q5" s="48">
        <f>(H5+K5+N5)/3</f>
        <v>49030</v>
      </c>
      <c r="R5" s="49">
        <f>(I5+L5+O5)/3</f>
        <v>7445</v>
      </c>
      <c r="S5" s="50">
        <f>(J5+M5+P5)/3</f>
        <v>3601.6666666666665</v>
      </c>
      <c r="T5" s="50">
        <v>48335</v>
      </c>
      <c r="U5" s="50">
        <v>11083</v>
      </c>
      <c r="V5" s="34"/>
      <c r="W5" s="34">
        <v>44</v>
      </c>
      <c r="X5" s="46">
        <v>10853</v>
      </c>
      <c r="Y5" s="43">
        <v>16164</v>
      </c>
      <c r="Z5" s="43">
        <v>9175</v>
      </c>
      <c r="AA5" s="66">
        <f>(X5+Y5+Z5)/3</f>
        <v>12064</v>
      </c>
      <c r="AB5" s="46">
        <f>705-6</f>
        <v>699</v>
      </c>
      <c r="AC5" s="43">
        <v>617</v>
      </c>
      <c r="AD5" s="43">
        <f>725-6</f>
        <v>719</v>
      </c>
      <c r="AE5" s="44">
        <f>(AB5+AC5+AD5)/3</f>
        <v>678.33333333333337</v>
      </c>
      <c r="AF5" s="103">
        <v>3696</v>
      </c>
      <c r="AG5" s="102">
        <v>49</v>
      </c>
      <c r="AH5" s="67">
        <v>22</v>
      </c>
      <c r="AI5" s="68">
        <f t="shared" ref="AI5:AI16" si="0">AG5+AH5</f>
        <v>71</v>
      </c>
      <c r="AJ5" s="55">
        <v>780</v>
      </c>
      <c r="AK5" s="52">
        <v>581</v>
      </c>
      <c r="AL5" s="52">
        <v>496</v>
      </c>
      <c r="AM5" s="53">
        <f>(AJ5+AK5+AL5)/3</f>
        <v>619</v>
      </c>
      <c r="AN5" s="39"/>
      <c r="AO5" s="9">
        <v>41</v>
      </c>
      <c r="AP5" s="10">
        <v>0.31</v>
      </c>
      <c r="AQ5" s="11">
        <v>70</v>
      </c>
    </row>
    <row r="6" spans="1:43" ht="45" customHeight="1">
      <c r="A6" s="106" t="s">
        <v>30</v>
      </c>
      <c r="B6" s="72">
        <v>48</v>
      </c>
      <c r="C6" s="15">
        <v>5</v>
      </c>
      <c r="D6" s="14">
        <v>6</v>
      </c>
      <c r="E6" s="12">
        <v>2.8</v>
      </c>
      <c r="F6" s="13">
        <v>115</v>
      </c>
      <c r="G6" s="14">
        <v>26</v>
      </c>
      <c r="H6" s="51">
        <v>38987</v>
      </c>
      <c r="I6" s="52">
        <v>6915</v>
      </c>
      <c r="J6" s="53">
        <v>1505</v>
      </c>
      <c r="K6" s="51">
        <v>38476</v>
      </c>
      <c r="L6" s="52">
        <v>7593</v>
      </c>
      <c r="M6" s="54">
        <v>2381</v>
      </c>
      <c r="N6" s="55">
        <v>37761</v>
      </c>
      <c r="O6" s="52">
        <v>8098</v>
      </c>
      <c r="P6" s="56">
        <v>2785</v>
      </c>
      <c r="Q6" s="57">
        <f t="shared" ref="Q6:Q12" si="1">(H6+K6+N6)/3</f>
        <v>38408</v>
      </c>
      <c r="R6" s="58">
        <f t="shared" ref="R6:R12" si="2">(I6+L6+O6)/3</f>
        <v>7535.333333333333</v>
      </c>
      <c r="S6" s="59">
        <f t="shared" ref="S6:S12" si="3">(J6+M6+P6)/3</f>
        <v>2223.6666666666665</v>
      </c>
      <c r="T6" s="59">
        <v>37248</v>
      </c>
      <c r="U6" s="59">
        <v>6915</v>
      </c>
      <c r="V6" s="16"/>
      <c r="W6" s="16">
        <v>29</v>
      </c>
      <c r="X6" s="55">
        <v>12679</v>
      </c>
      <c r="Y6" s="52">
        <v>16770</v>
      </c>
      <c r="Z6" s="52">
        <v>10064</v>
      </c>
      <c r="AA6" s="60">
        <f t="shared" ref="AA6:AA15" si="4">(X6+Y6+Z6)/3</f>
        <v>13171</v>
      </c>
      <c r="AB6" s="55">
        <f>1079-3</f>
        <v>1076</v>
      </c>
      <c r="AC6" s="52">
        <v>984</v>
      </c>
      <c r="AD6" s="52">
        <f>1080-9</f>
        <v>1071</v>
      </c>
      <c r="AE6" s="53">
        <f t="shared" ref="AE6:AE15" si="5">(AB6+AC6+AD6)/3</f>
        <v>1043.6666666666667</v>
      </c>
      <c r="AF6" s="104">
        <v>4192</v>
      </c>
      <c r="AG6" s="51">
        <v>77</v>
      </c>
      <c r="AH6" s="52">
        <v>58</v>
      </c>
      <c r="AI6" s="68">
        <f t="shared" si="0"/>
        <v>135</v>
      </c>
      <c r="AJ6" s="55">
        <v>1181</v>
      </c>
      <c r="AK6" s="52">
        <v>1149</v>
      </c>
      <c r="AL6" s="52">
        <v>1200</v>
      </c>
      <c r="AM6" s="53">
        <f t="shared" ref="AM6:AM16" si="6">(AJ6+AK6+AL6)/3</f>
        <v>1176.6666666666667</v>
      </c>
      <c r="AN6" s="40"/>
      <c r="AO6" s="15">
        <v>43</v>
      </c>
      <c r="AP6" s="13">
        <v>0.17100000000000001</v>
      </c>
      <c r="AQ6" s="14">
        <v>120</v>
      </c>
    </row>
    <row r="7" spans="1:43" ht="45" customHeight="1">
      <c r="A7" s="106" t="s">
        <v>31</v>
      </c>
      <c r="B7" s="72">
        <v>56</v>
      </c>
      <c r="C7" s="15">
        <v>6</v>
      </c>
      <c r="D7" s="14">
        <v>12</v>
      </c>
      <c r="E7" s="12">
        <v>2.9</v>
      </c>
      <c r="F7" s="13">
        <v>244</v>
      </c>
      <c r="G7" s="14">
        <v>34</v>
      </c>
      <c r="H7" s="51">
        <v>89760</v>
      </c>
      <c r="I7" s="52">
        <v>18968</v>
      </c>
      <c r="J7" s="53">
        <v>9853</v>
      </c>
      <c r="K7" s="51">
        <v>88301</v>
      </c>
      <c r="L7" s="52">
        <v>18647</v>
      </c>
      <c r="M7" s="54">
        <v>10454</v>
      </c>
      <c r="N7" s="55">
        <v>86417</v>
      </c>
      <c r="O7" s="52">
        <v>17164</v>
      </c>
      <c r="P7" s="56">
        <v>11309</v>
      </c>
      <c r="Q7" s="57">
        <f t="shared" si="1"/>
        <v>88159.333333333328</v>
      </c>
      <c r="R7" s="58">
        <f t="shared" si="2"/>
        <v>18259.666666666668</v>
      </c>
      <c r="S7" s="59">
        <f t="shared" si="3"/>
        <v>10538.666666666666</v>
      </c>
      <c r="T7" s="59">
        <v>84388</v>
      </c>
      <c r="U7" s="59">
        <v>20556</v>
      </c>
      <c r="V7" s="16"/>
      <c r="W7" s="16">
        <v>59</v>
      </c>
      <c r="X7" s="55">
        <v>31590</v>
      </c>
      <c r="Y7" s="52">
        <v>37255</v>
      </c>
      <c r="Z7" s="52">
        <v>26067</v>
      </c>
      <c r="AA7" s="60">
        <f t="shared" si="4"/>
        <v>31637.333333333332</v>
      </c>
      <c r="AB7" s="55">
        <f>2474-6</f>
        <v>2468</v>
      </c>
      <c r="AC7" s="52">
        <v>2189</v>
      </c>
      <c r="AD7" s="52">
        <f>3072-27</f>
        <v>3045</v>
      </c>
      <c r="AE7" s="53">
        <f t="shared" si="5"/>
        <v>2567.3333333333335</v>
      </c>
      <c r="AF7" s="104">
        <v>9463</v>
      </c>
      <c r="AG7" s="51">
        <v>99</v>
      </c>
      <c r="AH7" s="52">
        <v>66</v>
      </c>
      <c r="AI7" s="68">
        <f t="shared" si="0"/>
        <v>165</v>
      </c>
      <c r="AJ7" s="55">
        <v>1710</v>
      </c>
      <c r="AK7" s="52">
        <v>992</v>
      </c>
      <c r="AL7" s="52">
        <v>920</v>
      </c>
      <c r="AM7" s="53">
        <f t="shared" si="6"/>
        <v>1207.3333333333333</v>
      </c>
      <c r="AN7" s="40"/>
      <c r="AO7" s="15">
        <v>39</v>
      </c>
      <c r="AP7" s="13">
        <v>0.217</v>
      </c>
      <c r="AQ7" s="14">
        <v>126</v>
      </c>
    </row>
    <row r="8" spans="1:43" ht="45" customHeight="1">
      <c r="A8" s="106" t="s">
        <v>32</v>
      </c>
      <c r="B8" s="72">
        <v>41</v>
      </c>
      <c r="C8" s="15">
        <v>7</v>
      </c>
      <c r="D8" s="14">
        <v>8</v>
      </c>
      <c r="E8" s="12">
        <v>2.89</v>
      </c>
      <c r="F8" s="13">
        <v>93</v>
      </c>
      <c r="G8" s="14">
        <v>17</v>
      </c>
      <c r="H8" s="51">
        <v>93673</v>
      </c>
      <c r="I8" s="52">
        <v>8994</v>
      </c>
      <c r="J8" s="53">
        <v>2896</v>
      </c>
      <c r="K8" s="51">
        <v>89659</v>
      </c>
      <c r="L8" s="52">
        <v>9410</v>
      </c>
      <c r="M8" s="54">
        <v>3243</v>
      </c>
      <c r="N8" s="55">
        <v>84681</v>
      </c>
      <c r="O8" s="52">
        <v>7580</v>
      </c>
      <c r="P8" s="56">
        <v>3398</v>
      </c>
      <c r="Q8" s="57">
        <f t="shared" si="1"/>
        <v>89337.666666666672</v>
      </c>
      <c r="R8" s="58">
        <f t="shared" si="2"/>
        <v>8661.3333333333339</v>
      </c>
      <c r="S8" s="59">
        <f t="shared" si="3"/>
        <v>3179</v>
      </c>
      <c r="T8" s="59">
        <v>78746</v>
      </c>
      <c r="U8" s="59">
        <v>6086</v>
      </c>
      <c r="V8" s="16"/>
      <c r="W8" s="16">
        <v>28</v>
      </c>
      <c r="X8" s="55">
        <v>10956</v>
      </c>
      <c r="Y8" s="52">
        <v>15823</v>
      </c>
      <c r="Z8" s="52">
        <v>8862</v>
      </c>
      <c r="AA8" s="60">
        <f t="shared" si="4"/>
        <v>11880.333333333334</v>
      </c>
      <c r="AB8" s="55">
        <v>984</v>
      </c>
      <c r="AC8" s="52">
        <v>923</v>
      </c>
      <c r="AD8" s="52">
        <f>926-11</f>
        <v>915</v>
      </c>
      <c r="AE8" s="53">
        <f t="shared" si="5"/>
        <v>940.66666666666663</v>
      </c>
      <c r="AF8" s="104">
        <v>2604</v>
      </c>
      <c r="AG8" s="51">
        <v>60</v>
      </c>
      <c r="AH8" s="52">
        <v>22</v>
      </c>
      <c r="AI8" s="68">
        <f t="shared" si="0"/>
        <v>82</v>
      </c>
      <c r="AJ8" s="55">
        <v>683</v>
      </c>
      <c r="AK8" s="52">
        <v>754</v>
      </c>
      <c r="AL8" s="52">
        <v>609</v>
      </c>
      <c r="AM8" s="53">
        <f t="shared" si="6"/>
        <v>682</v>
      </c>
      <c r="AN8" s="40"/>
      <c r="AO8" s="15">
        <v>41</v>
      </c>
      <c r="AP8" s="13">
        <v>0.20599999999999999</v>
      </c>
      <c r="AQ8" s="14">
        <v>87</v>
      </c>
    </row>
    <row r="9" spans="1:43" ht="45" customHeight="1">
      <c r="A9" s="106" t="s">
        <v>33</v>
      </c>
      <c r="B9" s="72">
        <v>37</v>
      </c>
      <c r="C9" s="15">
        <v>7</v>
      </c>
      <c r="D9" s="14">
        <v>10</v>
      </c>
      <c r="E9" s="12">
        <v>4.7</v>
      </c>
      <c r="F9" s="13">
        <v>79</v>
      </c>
      <c r="G9" s="14">
        <v>18</v>
      </c>
      <c r="H9" s="51">
        <v>48123</v>
      </c>
      <c r="I9" s="52">
        <v>14493</v>
      </c>
      <c r="J9" s="53">
        <v>7286</v>
      </c>
      <c r="K9" s="51">
        <v>46364</v>
      </c>
      <c r="L9" s="52">
        <v>15088</v>
      </c>
      <c r="M9" s="54">
        <v>8439</v>
      </c>
      <c r="N9" s="55">
        <v>44617</v>
      </c>
      <c r="O9" s="52">
        <v>16994</v>
      </c>
      <c r="P9" s="56">
        <v>8869</v>
      </c>
      <c r="Q9" s="57">
        <f t="shared" si="1"/>
        <v>46368</v>
      </c>
      <c r="R9" s="58">
        <f t="shared" si="2"/>
        <v>15525</v>
      </c>
      <c r="S9" s="59">
        <f t="shared" si="3"/>
        <v>8198</v>
      </c>
      <c r="T9" s="59">
        <v>43911</v>
      </c>
      <c r="U9" s="59">
        <v>10668</v>
      </c>
      <c r="V9" s="16"/>
      <c r="W9" s="16">
        <v>28</v>
      </c>
      <c r="X9" s="55">
        <v>8383</v>
      </c>
      <c r="Y9" s="52">
        <v>12650</v>
      </c>
      <c r="Z9" s="52">
        <v>6975</v>
      </c>
      <c r="AA9" s="60">
        <f t="shared" si="4"/>
        <v>9336</v>
      </c>
      <c r="AB9" s="55">
        <v>661</v>
      </c>
      <c r="AC9" s="52">
        <v>763</v>
      </c>
      <c r="AD9" s="52">
        <f>793-8</f>
        <v>785</v>
      </c>
      <c r="AE9" s="53">
        <f t="shared" si="5"/>
        <v>736.33333333333337</v>
      </c>
      <c r="AF9" s="104">
        <v>2090</v>
      </c>
      <c r="AG9" s="51">
        <v>39</v>
      </c>
      <c r="AH9" s="52">
        <v>49</v>
      </c>
      <c r="AI9" s="68">
        <f t="shared" si="0"/>
        <v>88</v>
      </c>
      <c r="AJ9" s="55">
        <v>674</v>
      </c>
      <c r="AK9" s="52">
        <v>692</v>
      </c>
      <c r="AL9" s="52">
        <v>439</v>
      </c>
      <c r="AM9" s="53">
        <f t="shared" si="6"/>
        <v>601.66666666666663</v>
      </c>
      <c r="AN9" s="40"/>
      <c r="AO9" s="15">
        <v>41</v>
      </c>
      <c r="AP9" s="13">
        <v>0.193</v>
      </c>
      <c r="AQ9" s="14">
        <v>94</v>
      </c>
    </row>
    <row r="10" spans="1:43" ht="45" customHeight="1">
      <c r="A10" s="106" t="s">
        <v>34</v>
      </c>
      <c r="B10" s="72">
        <v>44</v>
      </c>
      <c r="C10" s="15">
        <v>11</v>
      </c>
      <c r="D10" s="14">
        <v>12</v>
      </c>
      <c r="E10" s="12">
        <v>17.8</v>
      </c>
      <c r="F10" s="13">
        <v>110</v>
      </c>
      <c r="G10" s="14">
        <v>22</v>
      </c>
      <c r="H10" s="51">
        <v>89011</v>
      </c>
      <c r="I10" s="52">
        <v>27688</v>
      </c>
      <c r="J10" s="53">
        <v>12715</v>
      </c>
      <c r="K10" s="51">
        <v>87404</v>
      </c>
      <c r="L10" s="52">
        <v>29403</v>
      </c>
      <c r="M10" s="54">
        <v>13977</v>
      </c>
      <c r="N10" s="55">
        <v>85964</v>
      </c>
      <c r="O10" s="52">
        <v>27858</v>
      </c>
      <c r="P10" s="56">
        <v>15537</v>
      </c>
      <c r="Q10" s="57">
        <f t="shared" si="1"/>
        <v>87459.666666666672</v>
      </c>
      <c r="R10" s="58">
        <f t="shared" si="2"/>
        <v>28316.333333333332</v>
      </c>
      <c r="S10" s="59">
        <f t="shared" si="3"/>
        <v>14076.333333333334</v>
      </c>
      <c r="T10" s="59">
        <v>84974</v>
      </c>
      <c r="U10" s="59">
        <v>17277</v>
      </c>
      <c r="V10" s="16"/>
      <c r="W10" s="16">
        <v>66</v>
      </c>
      <c r="X10" s="55">
        <v>11342</v>
      </c>
      <c r="Y10" s="52">
        <v>17604</v>
      </c>
      <c r="Z10" s="52">
        <v>11538</v>
      </c>
      <c r="AA10" s="60">
        <f t="shared" si="4"/>
        <v>13494.666666666666</v>
      </c>
      <c r="AB10" s="55">
        <v>973</v>
      </c>
      <c r="AC10" s="52">
        <v>1049</v>
      </c>
      <c r="AD10" s="52">
        <f>1756-13</f>
        <v>1743</v>
      </c>
      <c r="AE10" s="53">
        <f t="shared" si="5"/>
        <v>1255</v>
      </c>
      <c r="AF10" s="104">
        <v>4314</v>
      </c>
      <c r="AG10" s="51">
        <v>41</v>
      </c>
      <c r="AH10" s="52">
        <v>32</v>
      </c>
      <c r="AI10" s="68">
        <f t="shared" si="0"/>
        <v>73</v>
      </c>
      <c r="AJ10" s="55">
        <v>1073</v>
      </c>
      <c r="AK10" s="52">
        <v>770</v>
      </c>
      <c r="AL10" s="52">
        <v>786</v>
      </c>
      <c r="AM10" s="53">
        <f t="shared" si="6"/>
        <v>876.33333333333337</v>
      </c>
      <c r="AN10" s="40"/>
      <c r="AO10" s="15">
        <v>41</v>
      </c>
      <c r="AP10" s="13">
        <v>0.189</v>
      </c>
      <c r="AQ10" s="14">
        <v>111</v>
      </c>
    </row>
    <row r="11" spans="1:43" ht="45" customHeight="1">
      <c r="A11" s="106" t="s">
        <v>35</v>
      </c>
      <c r="B11" s="72">
        <v>43</v>
      </c>
      <c r="C11" s="15">
        <v>10</v>
      </c>
      <c r="D11" s="14">
        <v>10</v>
      </c>
      <c r="E11" s="12">
        <v>21</v>
      </c>
      <c r="F11" s="13">
        <v>141</v>
      </c>
      <c r="G11" s="14">
        <v>24</v>
      </c>
      <c r="H11" s="51">
        <v>43877</v>
      </c>
      <c r="I11" s="52">
        <v>28963</v>
      </c>
      <c r="J11" s="53">
        <v>9382</v>
      </c>
      <c r="K11" s="51">
        <v>45075</v>
      </c>
      <c r="L11" s="52">
        <v>32165</v>
      </c>
      <c r="M11" s="54">
        <v>9762</v>
      </c>
      <c r="N11" s="55">
        <v>46302</v>
      </c>
      <c r="O11" s="52">
        <v>19625</v>
      </c>
      <c r="P11" s="56">
        <v>10305</v>
      </c>
      <c r="Q11" s="57">
        <f t="shared" si="1"/>
        <v>45084.666666666664</v>
      </c>
      <c r="R11" s="58">
        <f t="shared" si="2"/>
        <v>26917.666666666668</v>
      </c>
      <c r="S11" s="59">
        <f t="shared" si="3"/>
        <v>9816.3333333333339</v>
      </c>
      <c r="T11" s="59">
        <v>47776</v>
      </c>
      <c r="U11" s="59">
        <v>16057</v>
      </c>
      <c r="V11" s="16"/>
      <c r="W11" s="16">
        <v>65</v>
      </c>
      <c r="X11" s="55">
        <v>12222</v>
      </c>
      <c r="Y11" s="52">
        <v>20438</v>
      </c>
      <c r="Z11" s="52">
        <v>11463</v>
      </c>
      <c r="AA11" s="60">
        <f t="shared" si="4"/>
        <v>14707.666666666666</v>
      </c>
      <c r="AB11" s="55">
        <v>866</v>
      </c>
      <c r="AC11" s="52">
        <v>754</v>
      </c>
      <c r="AD11" s="52">
        <f>958-9</f>
        <v>949</v>
      </c>
      <c r="AE11" s="53">
        <f t="shared" si="5"/>
        <v>856.33333333333337</v>
      </c>
      <c r="AF11" s="104">
        <v>3827</v>
      </c>
      <c r="AG11" s="51">
        <v>57</v>
      </c>
      <c r="AH11" s="52">
        <v>31</v>
      </c>
      <c r="AI11" s="68">
        <f t="shared" si="0"/>
        <v>88</v>
      </c>
      <c r="AJ11" s="55">
        <v>617</v>
      </c>
      <c r="AK11" s="52">
        <v>398</v>
      </c>
      <c r="AL11" s="52">
        <v>233</v>
      </c>
      <c r="AM11" s="53">
        <f t="shared" si="6"/>
        <v>416</v>
      </c>
      <c r="AN11" s="40"/>
      <c r="AO11" s="15">
        <v>41</v>
      </c>
      <c r="AP11" s="13">
        <v>0.26500000000000001</v>
      </c>
      <c r="AQ11" s="14">
        <v>82</v>
      </c>
    </row>
    <row r="12" spans="1:43" ht="45" customHeight="1">
      <c r="A12" s="106" t="s">
        <v>36</v>
      </c>
      <c r="B12" s="72">
        <v>38</v>
      </c>
      <c r="C12" s="15">
        <v>9</v>
      </c>
      <c r="D12" s="14">
        <v>9</v>
      </c>
      <c r="E12" s="12">
        <v>6.9</v>
      </c>
      <c r="F12" s="13">
        <v>82</v>
      </c>
      <c r="G12" s="14">
        <v>17</v>
      </c>
      <c r="H12" s="51">
        <v>49112</v>
      </c>
      <c r="I12" s="52">
        <v>37485</v>
      </c>
      <c r="J12" s="53">
        <v>16143</v>
      </c>
      <c r="K12" s="51">
        <v>50854</v>
      </c>
      <c r="L12" s="52">
        <v>23250</v>
      </c>
      <c r="M12" s="54">
        <v>18418</v>
      </c>
      <c r="N12" s="55">
        <v>52105</v>
      </c>
      <c r="O12" s="52">
        <v>17671</v>
      </c>
      <c r="P12" s="56">
        <v>19718</v>
      </c>
      <c r="Q12" s="57">
        <f t="shared" si="1"/>
        <v>50690.333333333336</v>
      </c>
      <c r="R12" s="58">
        <f t="shared" si="2"/>
        <v>26135.333333333332</v>
      </c>
      <c r="S12" s="59">
        <f t="shared" si="3"/>
        <v>18093</v>
      </c>
      <c r="T12" s="59">
        <v>53443</v>
      </c>
      <c r="U12" s="59">
        <v>13941</v>
      </c>
      <c r="V12" s="16"/>
      <c r="W12" s="16">
        <v>48</v>
      </c>
      <c r="X12" s="55">
        <v>14965</v>
      </c>
      <c r="Y12" s="52">
        <v>26444</v>
      </c>
      <c r="Z12" s="52">
        <v>12472</v>
      </c>
      <c r="AA12" s="60">
        <f t="shared" si="4"/>
        <v>17960.333333333332</v>
      </c>
      <c r="AB12" s="55">
        <f>1151-8</f>
        <v>1143</v>
      </c>
      <c r="AC12" s="52">
        <v>1140</v>
      </c>
      <c r="AD12" s="52">
        <f>1257-18</f>
        <v>1239</v>
      </c>
      <c r="AE12" s="53">
        <f t="shared" si="5"/>
        <v>1174</v>
      </c>
      <c r="AF12" s="104">
        <v>3924</v>
      </c>
      <c r="AG12" s="51">
        <v>33</v>
      </c>
      <c r="AH12" s="52">
        <v>43</v>
      </c>
      <c r="AI12" s="68">
        <f t="shared" si="0"/>
        <v>76</v>
      </c>
      <c r="AJ12" s="55">
        <v>1535</v>
      </c>
      <c r="AK12" s="52">
        <v>1171</v>
      </c>
      <c r="AL12" s="52">
        <v>814</v>
      </c>
      <c r="AM12" s="53">
        <f t="shared" si="6"/>
        <v>1173.3333333333333</v>
      </c>
      <c r="AN12" s="40"/>
      <c r="AO12" s="15">
        <v>39</v>
      </c>
      <c r="AP12" s="13">
        <v>0.26700000000000002</v>
      </c>
      <c r="AQ12" s="14">
        <v>101</v>
      </c>
    </row>
    <row r="13" spans="1:43" ht="45" customHeight="1">
      <c r="A13" s="107" t="s">
        <v>37</v>
      </c>
      <c r="B13" s="73">
        <v>27</v>
      </c>
      <c r="C13" s="76"/>
      <c r="D13" s="20"/>
      <c r="E13" s="18">
        <v>2.8</v>
      </c>
      <c r="F13" s="19">
        <v>46</v>
      </c>
      <c r="G13" s="20">
        <v>2</v>
      </c>
      <c r="H13" s="51"/>
      <c r="I13" s="52"/>
      <c r="J13" s="53"/>
      <c r="K13" s="51"/>
      <c r="L13" s="52"/>
      <c r="M13" s="60"/>
      <c r="N13" s="55"/>
      <c r="O13" s="52"/>
      <c r="P13" s="53"/>
      <c r="Q13" s="55"/>
      <c r="R13" s="52"/>
      <c r="S13" s="60"/>
      <c r="T13" s="60"/>
      <c r="U13" s="60"/>
      <c r="V13" s="17"/>
      <c r="W13" s="17"/>
      <c r="X13" s="55">
        <v>5006</v>
      </c>
      <c r="Y13" s="52">
        <v>5252</v>
      </c>
      <c r="Z13" s="52">
        <v>3798</v>
      </c>
      <c r="AA13" s="60">
        <f t="shared" si="4"/>
        <v>4685.333333333333</v>
      </c>
      <c r="AB13" s="55">
        <v>1170</v>
      </c>
      <c r="AC13" s="52">
        <v>759</v>
      </c>
      <c r="AD13" s="52">
        <f>543-6</f>
        <v>537</v>
      </c>
      <c r="AE13" s="53">
        <f t="shared" si="5"/>
        <v>822</v>
      </c>
      <c r="AF13" s="104">
        <v>952</v>
      </c>
      <c r="AG13" s="51">
        <v>30</v>
      </c>
      <c r="AH13" s="52">
        <v>20</v>
      </c>
      <c r="AI13" s="68">
        <f t="shared" si="0"/>
        <v>50</v>
      </c>
      <c r="AJ13" s="55">
        <v>1361</v>
      </c>
      <c r="AK13" s="52">
        <v>1189</v>
      </c>
      <c r="AL13" s="52">
        <v>565</v>
      </c>
      <c r="AM13" s="53">
        <f t="shared" si="6"/>
        <v>1038.3333333333333</v>
      </c>
      <c r="AN13" s="40"/>
      <c r="AO13" s="15">
        <v>42</v>
      </c>
      <c r="AP13" s="13">
        <v>0.17399999999999999</v>
      </c>
      <c r="AQ13" s="14">
        <v>57</v>
      </c>
    </row>
    <row r="14" spans="1:43" ht="45" customHeight="1">
      <c r="A14" s="3" t="s">
        <v>38</v>
      </c>
      <c r="B14" s="74">
        <v>25</v>
      </c>
      <c r="C14" s="77"/>
      <c r="D14" s="78"/>
      <c r="E14" s="21">
        <v>30</v>
      </c>
      <c r="F14" s="22">
        <v>12</v>
      </c>
      <c r="G14" s="23">
        <v>5</v>
      </c>
      <c r="H14" s="51"/>
      <c r="I14" s="52"/>
      <c r="J14" s="53"/>
      <c r="K14" s="51"/>
      <c r="L14" s="52"/>
      <c r="M14" s="60"/>
      <c r="N14" s="55"/>
      <c r="O14" s="52"/>
      <c r="P14" s="53"/>
      <c r="Q14" s="55"/>
      <c r="R14" s="52"/>
      <c r="S14" s="60"/>
      <c r="T14" s="60"/>
      <c r="U14" s="60"/>
      <c r="V14" s="17"/>
      <c r="W14" s="17"/>
      <c r="X14" s="55">
        <v>2022</v>
      </c>
      <c r="Y14" s="52">
        <v>2778</v>
      </c>
      <c r="Z14" s="52">
        <v>2297</v>
      </c>
      <c r="AA14" s="60">
        <f t="shared" si="4"/>
        <v>2365.6666666666665</v>
      </c>
      <c r="AB14" s="55">
        <v>236</v>
      </c>
      <c r="AC14" s="52">
        <v>171</v>
      </c>
      <c r="AD14" s="52">
        <f>310-2</f>
        <v>308</v>
      </c>
      <c r="AE14" s="53">
        <f t="shared" si="5"/>
        <v>238.33333333333334</v>
      </c>
      <c r="AF14" s="104">
        <v>830</v>
      </c>
      <c r="AG14" s="51">
        <v>9</v>
      </c>
      <c r="AH14" s="52">
        <v>3</v>
      </c>
      <c r="AI14" s="68">
        <f t="shared" si="0"/>
        <v>12</v>
      </c>
      <c r="AJ14" s="55">
        <v>64</v>
      </c>
      <c r="AK14" s="52">
        <v>89</v>
      </c>
      <c r="AL14" s="52">
        <v>80</v>
      </c>
      <c r="AM14" s="53">
        <f t="shared" si="6"/>
        <v>77.666666666666671</v>
      </c>
      <c r="AN14" s="40"/>
      <c r="AO14" s="15">
        <v>43</v>
      </c>
      <c r="AP14" s="13">
        <v>0.25</v>
      </c>
      <c r="AQ14" s="14">
        <v>37</v>
      </c>
    </row>
    <row r="15" spans="1:43" ht="45" customHeight="1" thickBot="1">
      <c r="A15" s="7" t="s">
        <v>39</v>
      </c>
      <c r="B15" s="75">
        <v>13</v>
      </c>
      <c r="C15" s="95"/>
      <c r="D15" s="96"/>
      <c r="E15" s="24">
        <v>5.33</v>
      </c>
      <c r="F15" s="25">
        <v>1</v>
      </c>
      <c r="G15" s="26">
        <v>1</v>
      </c>
      <c r="H15" s="61"/>
      <c r="I15" s="62"/>
      <c r="J15" s="63"/>
      <c r="K15" s="61"/>
      <c r="L15" s="62"/>
      <c r="M15" s="64"/>
      <c r="N15" s="65"/>
      <c r="O15" s="62"/>
      <c r="P15" s="63"/>
      <c r="Q15" s="65"/>
      <c r="R15" s="62"/>
      <c r="S15" s="64"/>
      <c r="T15" s="64"/>
      <c r="U15" s="64"/>
      <c r="V15" s="29"/>
      <c r="W15" s="29"/>
      <c r="X15" s="65">
        <v>1012</v>
      </c>
      <c r="Y15" s="62">
        <v>865</v>
      </c>
      <c r="Z15" s="62">
        <v>781</v>
      </c>
      <c r="AA15" s="64">
        <f t="shared" si="4"/>
        <v>886</v>
      </c>
      <c r="AB15" s="65">
        <v>266</v>
      </c>
      <c r="AC15" s="62">
        <v>132</v>
      </c>
      <c r="AD15" s="62">
        <f>157-2</f>
        <v>155</v>
      </c>
      <c r="AE15" s="63">
        <f t="shared" si="5"/>
        <v>184.33333333333334</v>
      </c>
      <c r="AF15" s="105">
        <v>573</v>
      </c>
      <c r="AG15" s="61">
        <v>2</v>
      </c>
      <c r="AH15" s="62">
        <v>1</v>
      </c>
      <c r="AI15" s="97">
        <f t="shared" si="0"/>
        <v>3</v>
      </c>
      <c r="AJ15" s="65">
        <v>109</v>
      </c>
      <c r="AK15" s="62">
        <v>50</v>
      </c>
      <c r="AL15" s="62">
        <v>69</v>
      </c>
      <c r="AM15" s="63">
        <f t="shared" si="6"/>
        <v>76</v>
      </c>
      <c r="AN15" s="41"/>
      <c r="AO15" s="27">
        <v>43</v>
      </c>
      <c r="AP15" s="28">
        <v>0.3</v>
      </c>
      <c r="AQ15" s="30">
        <v>12</v>
      </c>
    </row>
    <row r="16" spans="1:43" ht="34.5" customHeight="1" thickBot="1">
      <c r="A16" s="8" t="s">
        <v>13</v>
      </c>
      <c r="B16" s="38">
        <f>SUM(B5:B15)</f>
        <v>410</v>
      </c>
      <c r="C16" s="98">
        <v>59</v>
      </c>
      <c r="D16" s="32">
        <v>75</v>
      </c>
      <c r="E16" s="37">
        <f>SUM(E5:E15)</f>
        <v>102.62</v>
      </c>
      <c r="F16" s="31">
        <f>SUM(F5:F15)</f>
        <v>1056</v>
      </c>
      <c r="G16" s="31">
        <f>SUM(G5:G15)</f>
        <v>186</v>
      </c>
      <c r="H16" s="129"/>
      <c r="I16" s="130"/>
      <c r="J16" s="130"/>
      <c r="K16" s="130"/>
      <c r="L16" s="130"/>
      <c r="M16" s="130"/>
      <c r="N16" s="130"/>
      <c r="O16" s="130"/>
      <c r="P16" s="131"/>
      <c r="Q16" s="33">
        <f>SUM(Q5:Q15)</f>
        <v>494537.66666666669</v>
      </c>
      <c r="R16" s="33">
        <f>SUM(R5:R15)</f>
        <v>138795.66666666669</v>
      </c>
      <c r="S16" s="33">
        <f>SUM(S5:S15)</f>
        <v>69726.666666666672</v>
      </c>
      <c r="T16" s="33"/>
      <c r="U16" s="33"/>
      <c r="V16" s="33"/>
      <c r="W16" s="33">
        <f>SUM(W5:W15)</f>
        <v>367</v>
      </c>
      <c r="X16" s="132"/>
      <c r="Y16" s="133"/>
      <c r="Z16" s="134"/>
      <c r="AA16" s="70">
        <f>SUM(AA5:AA15)</f>
        <v>132188.33333333331</v>
      </c>
      <c r="AB16" s="132"/>
      <c r="AC16" s="133"/>
      <c r="AD16" s="134"/>
      <c r="AE16" s="70">
        <f>SUM(AE5:AE15)</f>
        <v>10496.333333333336</v>
      </c>
      <c r="AF16" s="70"/>
      <c r="AG16" s="70">
        <f>SUM(AG5:AG15)</f>
        <v>496</v>
      </c>
      <c r="AH16" s="70">
        <f>SUM(AH5:AH15)</f>
        <v>347</v>
      </c>
      <c r="AI16" s="69">
        <f t="shared" si="0"/>
        <v>843</v>
      </c>
      <c r="AJ16" s="99">
        <f>SUM(AJ5:AJ15)</f>
        <v>9787</v>
      </c>
      <c r="AK16" s="70">
        <f>SUM(AK5:AK15)</f>
        <v>7835</v>
      </c>
      <c r="AL16" s="70">
        <f>SUM(AL5:AL15)</f>
        <v>6211</v>
      </c>
      <c r="AM16" s="100">
        <f t="shared" si="6"/>
        <v>7944.333333333333</v>
      </c>
      <c r="AN16" s="37"/>
      <c r="AO16" s="31">
        <v>42</v>
      </c>
      <c r="AP16" s="31">
        <v>0.27100000000000002</v>
      </c>
      <c r="AQ16" s="32">
        <f>SUM(AQ5:AQ15)</f>
        <v>897</v>
      </c>
    </row>
  </sheetData>
  <mergeCells count="30">
    <mergeCell ref="X2:AF2"/>
    <mergeCell ref="X3:AA3"/>
    <mergeCell ref="AB3:AE3"/>
    <mergeCell ref="AJ3:AM3"/>
    <mergeCell ref="A1:AQ1"/>
    <mergeCell ref="AN3:AN4"/>
    <mergeCell ref="AG2:AN2"/>
    <mergeCell ref="A3:A4"/>
    <mergeCell ref="H2:W2"/>
    <mergeCell ref="W3:W4"/>
    <mergeCell ref="D2:D4"/>
    <mergeCell ref="B2:B4"/>
    <mergeCell ref="H16:P16"/>
    <mergeCell ref="X16:Z16"/>
    <mergeCell ref="AB16:AD16"/>
    <mergeCell ref="Q3:S3"/>
    <mergeCell ref="K3:M3"/>
    <mergeCell ref="N3:P3"/>
    <mergeCell ref="T3:V3"/>
    <mergeCell ref="E2:G2"/>
    <mergeCell ref="C2:C4"/>
    <mergeCell ref="AO2:AQ2"/>
    <mergeCell ref="AO3:AO4"/>
    <mergeCell ref="AP3:AP4"/>
    <mergeCell ref="AQ3:AQ4"/>
    <mergeCell ref="H3:J3"/>
    <mergeCell ref="AI3:AI4"/>
    <mergeCell ref="G3:G4"/>
    <mergeCell ref="E3:E4"/>
    <mergeCell ref="F3:F4"/>
  </mergeCells>
  <phoneticPr fontId="3" type="noConversion"/>
  <pageMargins left="0.28000000000000003" right="0.21" top="1" bottom="1" header="0.5" footer="0.5"/>
  <pageSetup paperSize="8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CCC4A-053A-42A3-B8B6-3107F707EE4E}">
  <dimension ref="A1"/>
  <sheetViews>
    <sheetView workbookViewId="0"/>
  </sheetViews>
  <sheetFormatPr defaultColWidth="9" defaultRowHeight="15"/>
  <sheetData/>
  <phoneticPr fontId="3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F7DE8-1EC9-47C1-AAAE-341F4B91A20F}">
  <dimension ref="A1"/>
  <sheetViews>
    <sheetView workbookViewId="0"/>
  </sheetViews>
  <sheetFormatPr defaultColWidth="9" defaultRowHeight="15"/>
  <sheetData/>
  <phoneticPr fontId="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Manager/>
  <Company>微软中国</Company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徐璐</dc:creator>
  <cp:keywords/>
  <dc:description/>
  <cp:lastModifiedBy>梅应宝</cp:lastModifiedBy>
  <cp:revision/>
  <cp:lastPrinted>2017-02-06T09:28:34Z</cp:lastPrinted>
  <dcterms:created xsi:type="dcterms:W3CDTF">2016-11-14T05:43:27Z</dcterms:created>
  <dcterms:modified xsi:type="dcterms:W3CDTF">2025-08-15T13:14:02Z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2052-9.1.0.4397</vt:lpwstr>
  </property>
</Properties>
</file>